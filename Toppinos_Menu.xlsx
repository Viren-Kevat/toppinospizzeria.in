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Summary" sheetId="2" state="visible" r:id="rId4"/>
    <sheet name="Ingredients" sheetId="3" state="visible" r:id="rId5"/>
  </sheets>
  <definedNames>
    <definedName function="false" hidden="true" localSheetId="0" name="_xlnm._FilterDatabase" vbProcedure="false">Menu!$A$1:$D$62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<sst xmlns="http://schemas.openxmlformats.org/spreadsheetml/2006/main" count="204" uniqueCount="141">
  <si>
    <t xml:space="preserve">Category</t>
  </si>
  <si>
    <t xml:space="preserve">Item</t>
  </si>
  <si>
    <t xml:space="preserve">Description / Ingredients</t>
  </si>
  <si>
    <t xml:space="preserve">Price (₹)</t>
  </si>
  <si>
    <t xml:space="preserve">Salads</t>
  </si>
  <si>
    <t xml:space="preserve">Greek Salad</t>
  </si>
  <si>
    <t xml:space="preserve">Cucumber, Tomato, Bell Pepper, Black Olives, Red Onion, Feta</t>
  </si>
  <si>
    <t xml:space="preserve">Turkish Çoban Salad</t>
  </si>
  <si>
    <t xml:space="preserve">Tomato, Cucumber, Onion, Bell Pepper, Parsley, Sumac</t>
  </si>
  <si>
    <t xml:space="preserve">Burrata Caprese</t>
  </si>
  <si>
    <t xml:space="preserve">Cherry Tomato, Fresh Basil, Burrata, Balsamic Glaze</t>
  </si>
  <si>
    <t xml:space="preserve">Soups</t>
  </si>
  <si>
    <t xml:space="preserve">Cream of Mushroom</t>
  </si>
  <si>
    <t xml:space="preserve">Mushroom, Garlic, Thyme, Black Pepper</t>
  </si>
  <si>
    <t xml:space="preserve">Roasted Tomato Basil</t>
  </si>
  <si>
    <t xml:space="preserve">Roasted Tomato, Basil, Garlic, Parmesan</t>
  </si>
  <si>
    <t xml:space="preserve">Broccoli Parmesan</t>
  </si>
  <si>
    <t xml:space="preserve">Broccoli, Garlic, Cream, Parmesan</t>
  </si>
  <si>
    <t xml:space="preserve">Italian Minestrone</t>
  </si>
  <si>
    <t xml:space="preserve">Zucchini, Carrot, Beans, Celery, Pasta, Parmesan, Basil</t>
  </si>
  <si>
    <t xml:space="preserve">Turkish Lentil Soup</t>
  </si>
  <si>
    <t xml:space="preserve">Red Lentils, Carrot, Onion, Cumin, Paprika, Lemon</t>
  </si>
  <si>
    <t xml:space="preserve">Garlic Bread &amp; Turkish Bread</t>
  </si>
  <si>
    <t xml:space="preserve">Turkish Simit</t>
  </si>
  <si>
    <t xml:space="preserve">Sesame, Turkish White Cheese</t>
  </si>
  <si>
    <t xml:space="preserve">Bazlama</t>
  </si>
  <si>
    <t xml:space="preserve">Garlic Butter, Parsley</t>
  </si>
  <si>
    <t xml:space="preserve">Garlic Herb Turkish Bread</t>
  </si>
  <si>
    <t xml:space="preserve">Roasted Garlic, Parsley, Oregano, Mozzarella</t>
  </si>
  <si>
    <t xml:space="preserve">Za'atar Turkish Bread</t>
  </si>
  <si>
    <t xml:space="preserve">Za'atar, Sesame, EVOO</t>
  </si>
  <si>
    <t xml:space="preserve">Cheese &amp; Chilli Turkish Bread</t>
  </si>
  <si>
    <t xml:space="preserve">Mozzarella, Turkish White Cheese, Green Chilli, Parsley</t>
  </si>
  <si>
    <t xml:space="preserve">Turkish Pide</t>
  </si>
  <si>
    <t xml:space="preserve">Classic Cheese Pide</t>
  </si>
  <si>
    <t xml:space="preserve">Mozzarella, Turkish White Cheese, Parsley</t>
  </si>
  <si>
    <t xml:space="preserve">Spinach &amp; Cheese Pide</t>
  </si>
  <si>
    <t xml:space="preserve">Spinach, Garlic, Mozzarella, Turkish White Cheese</t>
  </si>
  <si>
    <t xml:space="preserve">Mushroom &amp; Cheese Pide</t>
  </si>
  <si>
    <t xml:space="preserve">Mushroom, Onion, Garlic, Mozzarella, Turkish White Cheese</t>
  </si>
  <si>
    <t xml:space="preserve">Tandoori Paneer Pide</t>
  </si>
  <si>
    <t xml:space="preserve">Tandoori Paneer, Onion, Bell Pepper, Jalapeño, Mozzarella</t>
  </si>
  <si>
    <t xml:space="preserve">Mediterranean Pide</t>
  </si>
  <si>
    <t xml:space="preserve">Basil Pesto, Sundried Tomato, Black Olives, Baby Corn, Jalapeño, Mozzarella, Turkish White Cheese</t>
  </si>
  <si>
    <t xml:space="preserve">Pasta</t>
  </si>
  <si>
    <t xml:space="preserve">Penne Arrabbiata</t>
  </si>
  <si>
    <t xml:space="preserve">Tomato, Garlic, Basil, Chilli Flakes, Parmesan</t>
  </si>
  <si>
    <t xml:space="preserve">Fettuccine Alfredo</t>
  </si>
  <si>
    <t xml:space="preserve">Mushroom, Garlic, Parsley, Parmesan</t>
  </si>
  <si>
    <t xml:space="preserve">Spaghetti Aglio e Olio</t>
  </si>
  <si>
    <t xml:space="preserve">Garlic, Parsley, Chilli Flakes, Parmesan, Lemon Zest</t>
  </si>
  <si>
    <t xml:space="preserve">Penne Basil Pesto</t>
  </si>
  <si>
    <t xml:space="preserve">Cherry Tomato, Black Olives, Bell Pepper, Parmesan, Pine Nuts</t>
  </si>
  <si>
    <t xml:space="preserve">Pink Sauce Burrata Pasta</t>
  </si>
  <si>
    <t xml:space="preserve">Tomato, Basil, Parmesan, Burrata</t>
  </si>
  <si>
    <t xml:space="preserve">Italian Neapolitan Pizzas</t>
  </si>
  <si>
    <t xml:space="preserve">Margherita Napoletana</t>
  </si>
  <si>
    <t xml:space="preserve">Pesto Burrata</t>
  </si>
  <si>
    <t xml:space="preserve">Basil Pesto, Cherry Tomato, Fior di Latte, Burrata, Basil, Pine Nuts</t>
  </si>
  <si>
    <t xml:space="preserve">Funghi Tartufo</t>
  </si>
  <si>
    <t xml:space="preserve">Mushroom, Roasted Garlic, Fior di Latte, Parmesan, Thyme, Truffle Oil</t>
  </si>
  <si>
    <t xml:space="preserve">Quattro Formaggi</t>
  </si>
  <si>
    <t xml:space="preserve">Fior di Latte, Gorgonzola, Taleggio, Parmesan, Black Pepper</t>
  </si>
  <si>
    <t xml:space="preserve">Diavola Veg</t>
  </si>
  <si>
    <t xml:space="preserve">Bell Pepper, Jalapeño, Black Olives, Green Chilli, Fior di Latte, Chilli Oil</t>
  </si>
  <si>
    <t xml:space="preserve">Turkish Pizza / Lahmacun</t>
  </si>
  <si>
    <t xml:space="preserve">Classic Veg Lahmacun</t>
  </si>
  <si>
    <t xml:space="preserve">Mushroom, Tomato, Onion, Bell Pepper, Parsley, Garlic, Turkish Spices</t>
  </si>
  <si>
    <t xml:space="preserve">Cheese &amp; Vegetable Lahmacun</t>
  </si>
  <si>
    <t xml:space="preserve">Tomato, Onion, Bell Pepper, Mushroom, Mozzarella, Turkish White Cheese, Parsley</t>
  </si>
  <si>
    <t xml:space="preserve">Mediterranean Lahmacun</t>
  </si>
  <si>
    <t xml:space="preserve">Sundried Tomato, Roasted Bell Pepper, Black Olives, Mushroom, Turkish White Cheese, Parsley</t>
  </si>
  <si>
    <t xml:space="preserve">Tandoori Turkish Pizza</t>
  </si>
  <si>
    <t xml:space="preserve">Tandoori Paneer, Onion, Bell Pepper, Jalapeño, Mozzarella, Coriander</t>
  </si>
  <si>
    <t xml:space="preserve">Pesto Turkish Pizza</t>
  </si>
  <si>
    <t xml:space="preserve">Basil Pesto, Sundried Tomato, Black Olives, Jalapeño, Baby Corn, Mozzarella, Turkish White Cheese</t>
  </si>
  <si>
    <t xml:space="preserve">Desserts</t>
  </si>
  <si>
    <t xml:space="preserve">Classic Tiramisu</t>
  </si>
  <si>
    <t xml:space="preserve">Mascarpone, Espresso, Cocoa</t>
  </si>
  <si>
    <t xml:space="preserve">Vanilla Panna Cotta</t>
  </si>
  <si>
    <t xml:space="preserve">Vanilla, Berry Compote</t>
  </si>
  <si>
    <t xml:space="preserve">Italian Chocolate Brownie</t>
  </si>
  <si>
    <t xml:space="preserve">Warm Brownie, Vanilla Gelato, Chocolate Sauce</t>
  </si>
  <si>
    <t xml:space="preserve">Chocolate Brownie with Ice Cream</t>
  </si>
  <si>
    <t xml:space="preserve">Not listed on menu</t>
  </si>
  <si>
    <t xml:space="preserve">Ice Cream - Vanilla</t>
  </si>
  <si>
    <t xml:space="preserve">Ice Cream - Chocolate</t>
  </si>
  <si>
    <t xml:space="preserve">Ice Cream - Butterscotch</t>
  </si>
  <si>
    <t xml:space="preserve">Ice Cream - American Nuts</t>
  </si>
  <si>
    <t xml:space="preserve">Ice Cream - Chocolate Brownie</t>
  </si>
  <si>
    <t xml:space="preserve">Moctails</t>
  </si>
  <si>
    <t xml:space="preserve">Turkish Pomegranate Fizz</t>
  </si>
  <si>
    <t xml:space="preserve">Not listed (menu repeats the name)</t>
  </si>
  <si>
    <t xml:space="preserve">Istanbul Blue</t>
  </si>
  <si>
    <t xml:space="preserve">Blue Curaçao, Lemon, Mint, Soda</t>
  </si>
  <si>
    <t xml:space="preserve">Mediterranean Sunset</t>
  </si>
  <si>
    <t xml:space="preserve">Orange, Cranberry, Grenadine, Lemon</t>
  </si>
  <si>
    <t xml:space="preserve">Berry Basil Smash</t>
  </si>
  <si>
    <t xml:space="preserve">Mixed Berries, Basil, Lemon, Soda</t>
  </si>
  <si>
    <t xml:space="preserve">Passionfruit Mojito</t>
  </si>
  <si>
    <t xml:space="preserve">Passionfruit, Mint, Lime, Soda</t>
  </si>
  <si>
    <t xml:space="preserve">Carbonated</t>
  </si>
  <si>
    <t xml:space="preserve">Sprite</t>
  </si>
  <si>
    <t xml:space="preserve">Fanta</t>
  </si>
  <si>
    <t xml:space="preserve">Coke</t>
  </si>
  <si>
    <t xml:space="preserve">Zero Coke</t>
  </si>
  <si>
    <t xml:space="preserve">Thums Up</t>
  </si>
  <si>
    <t xml:space="preserve">Tonic Water</t>
  </si>
  <si>
    <t xml:space="preserve">Ginger Ale</t>
  </si>
  <si>
    <t xml:space="preserve">RedBull Energy</t>
  </si>
  <si>
    <t xml:space="preserve">Cold Coffee</t>
  </si>
  <si>
    <t xml:space="preserve">Classic Cold Coffee</t>
  </si>
  <si>
    <t xml:space="preserve">Espresso, Chilled Milk, Ice</t>
  </si>
  <si>
    <t xml:space="preserve">Mocha Cold Coffee</t>
  </si>
  <si>
    <t xml:space="preserve">Espresso, Chocolate, Milk, Ice</t>
  </si>
  <si>
    <t xml:space="preserve">Hazelnut Cold Coffee</t>
  </si>
  <si>
    <t xml:space="preserve">Espresso, Hazelnut, Milk, Ice</t>
  </si>
  <si>
    <t xml:space="preserve">Vanilla Cream Cold Coffee</t>
  </si>
  <si>
    <t xml:space="preserve">Espresso, Vanilla, Milk, Cream</t>
  </si>
  <si>
    <t xml:space="preserve">Angara / Turkish Coffee</t>
  </si>
  <si>
    <t xml:space="preserve">Angara Turkish Coffee</t>
  </si>
  <si>
    <t xml:space="preserve">Turkish Delight</t>
  </si>
  <si>
    <t xml:space="preserve">Turkish Cold Coffee</t>
  </si>
  <si>
    <t xml:space="preserve">Turkish Coffee, Milk, Ice</t>
  </si>
  <si>
    <t xml:space="preserve">Total items</t>
  </si>
  <si>
    <t xml:space="preserve">Average price</t>
  </si>
  <si>
    <t xml:space="preserve">Source: Toppino's Menu PDF (Sindhu Bhavan Road, Ahmedabad). Blank descriptions = none on menu.</t>
  </si>
  <si>
    <t xml:space="preserve">Items</t>
  </si>
  <si>
    <t xml:space="preserve">Min Price (₹)</t>
  </si>
  <si>
    <t xml:space="preserve">Max Price (₹)</t>
  </si>
  <si>
    <t xml:space="preserve">Total</t>
  </si>
  <si>
    <t xml:space="preserve">Group</t>
  </si>
  <si>
    <t xml:space="preserve">Available Ingredients</t>
  </si>
  <si>
    <t xml:space="preserve">Toppings</t>
  </si>
  <si>
    <t xml:space="preserve">Fresh Tomato, Cherry Tomato, Bell Pepper, Jalapeno, Green Chilli, Black Olives, Mushroom, Tandoori Paneer, Baby Corn, Red Onion, Garlic, Fresh Basil, Parsley, Spinach, Thyme, Oregano, Za'atar, Fresh Mint, Lemon</t>
  </si>
  <si>
    <t xml:space="preserve">Cheese</t>
  </si>
  <si>
    <t xml:space="preserve">Mozzarella, Fior di Latte, Burrata, Parmesan, Turkish White Cheese, Feta</t>
  </si>
  <si>
    <t xml:space="preserve">Sauces and Finishes</t>
  </si>
  <si>
    <t xml:space="preserve">Tomato Sauce, Basil Pesto, White Sauce, Pink Sauce, Tandoori Sauce, Extra Virgin Olive Oil, Chilli Oil, Truffle Oil, Balsamic Glaze</t>
  </si>
  <si>
    <t xml:space="preserve">Sugar</t>
  </si>
  <si>
    <t xml:space="preserve">Regular White Sugar, Brown Sugar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</si>
</sst>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A1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A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349</v>
      </c>
    </row>
    <row r="3" customFormat="false" ht="15" hidden="false" customHeight="false" outlineLevel="0" collapsed="false">
      <c r="A3" s="2" t="s">
        <v>4</v>
      </c>
      <c r="B3" s="2" t="s">
        <v>7</v>
      </c>
      <c r="C3" s="2" t="s">
        <v>8</v>
      </c>
      <c r="D3" s="3" t="n">
        <v>299</v>
      </c>
    </row>
    <row r="4" customFormat="false" ht="15" hidden="false" customHeight="false" outlineLevel="0" collapsed="false">
      <c r="A4" s="2" t="s">
        <v>4</v>
      </c>
      <c r="B4" s="2" t="s">
        <v>9</v>
      </c>
      <c r="C4" s="2" t="s">
        <v>10</v>
      </c>
      <c r="D4" s="3" t="n">
        <v>499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13</v>
      </c>
      <c r="D5" s="3" t="n">
        <v>249</v>
      </c>
    </row>
    <row r="6" customFormat="false" ht="15" hidden="false" customHeight="false" outlineLevel="0" collapsed="false">
      <c r="A6" s="2" t="s">
        <v>11</v>
      </c>
      <c r="B6" s="2" t="s">
        <v>14</v>
      </c>
      <c r="C6" s="2" t="s">
        <v>15</v>
      </c>
      <c r="D6" s="3" t="n">
        <v>249</v>
      </c>
    </row>
    <row r="7" customFormat="false" ht="15" hidden="false" customHeight="false" outlineLevel="0" collapsed="false">
      <c r="A7" s="2" t="s">
        <v>11</v>
      </c>
      <c r="B7" s="2" t="s">
        <v>16</v>
      </c>
      <c r="C7" s="2" t="s">
        <v>17</v>
      </c>
      <c r="D7" s="3" t="n">
        <v>249</v>
      </c>
    </row>
    <row r="8" customFormat="false" ht="15" hidden="false" customHeight="false" outlineLevel="0" collapsed="false">
      <c r="A8" s="2" t="s">
        <v>11</v>
      </c>
      <c r="B8" s="2" t="s">
        <v>18</v>
      </c>
      <c r="C8" s="2" t="s">
        <v>19</v>
      </c>
      <c r="D8" s="3" t="n">
        <v>299</v>
      </c>
    </row>
    <row r="9" customFormat="false" ht="15" hidden="false" customHeight="false" outlineLevel="0" collapsed="false">
      <c r="A9" s="2" t="s">
        <v>11</v>
      </c>
      <c r="B9" s="2" t="s">
        <v>20</v>
      </c>
      <c r="C9" s="2" t="s">
        <v>21</v>
      </c>
      <c r="D9" s="3" t="n">
        <v>249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24</v>
      </c>
      <c r="D10" s="3" t="n">
        <v>179</v>
      </c>
    </row>
    <row r="11" customFormat="false" ht="15" hidden="false" customHeight="false" outlineLevel="0" collapsed="false">
      <c r="A11" s="2" t="s">
        <v>22</v>
      </c>
      <c r="B11" s="2" t="s">
        <v>25</v>
      </c>
      <c r="C11" s="2" t="s">
        <v>26</v>
      </c>
      <c r="D11" s="3" t="n">
        <v>199</v>
      </c>
    </row>
    <row r="12" customFormat="false" ht="15" hidden="false" customHeight="false" outlineLevel="0" collapsed="false">
      <c r="A12" s="2" t="s">
        <v>22</v>
      </c>
      <c r="B12" s="2" t="s">
        <v>27</v>
      </c>
      <c r="C12" s="2" t="s">
        <v>28</v>
      </c>
      <c r="D12" s="3" t="n">
        <v>249</v>
      </c>
    </row>
    <row r="13" customFormat="false" ht="15" hidden="false" customHeight="false" outlineLevel="0" collapsed="false">
      <c r="A13" s="2" t="s">
        <v>22</v>
      </c>
      <c r="B13" s="2" t="s">
        <v>29</v>
      </c>
      <c r="C13" s="2" t="s">
        <v>30</v>
      </c>
      <c r="D13" s="3" t="n">
        <v>249</v>
      </c>
    </row>
    <row r="14" customFormat="false" ht="15" hidden="false" customHeight="false" outlineLevel="0" collapsed="false">
      <c r="A14" s="2" t="s">
        <v>22</v>
      </c>
      <c r="B14" s="2" t="s">
        <v>31</v>
      </c>
      <c r="C14" s="2" t="s">
        <v>32</v>
      </c>
      <c r="D14" s="3" t="n">
        <v>299</v>
      </c>
    </row>
    <row r="15" customFormat="false" ht="15" hidden="false" customHeight="false" outlineLevel="0" collapsed="false">
      <c r="A15" s="2" t="s">
        <v>33</v>
      </c>
      <c r="B15" s="2" t="s">
        <v>34</v>
      </c>
      <c r="C15" s="2" t="s">
        <v>35</v>
      </c>
      <c r="D15" s="3" t="n">
        <v>399</v>
      </c>
    </row>
    <row r="16" customFormat="false" ht="15" hidden="false" customHeight="false" outlineLevel="0" collapsed="false">
      <c r="A16" s="2" t="s">
        <v>33</v>
      </c>
      <c r="B16" s="2" t="s">
        <v>36</v>
      </c>
      <c r="C16" s="2" t="s">
        <v>37</v>
      </c>
      <c r="D16" s="3" t="n">
        <v>399</v>
      </c>
    </row>
    <row r="17" customFormat="false" ht="15" hidden="false" customHeight="false" outlineLevel="0" collapsed="false">
      <c r="A17" s="2" t="s">
        <v>33</v>
      </c>
      <c r="B17" s="2" t="s">
        <v>38</v>
      </c>
      <c r="C17" s="2" t="s">
        <v>39</v>
      </c>
      <c r="D17" s="3" t="n">
        <v>449</v>
      </c>
    </row>
    <row r="18" customFormat="false" ht="15" hidden="false" customHeight="false" outlineLevel="0" collapsed="false">
      <c r="A18" s="2" t="s">
        <v>33</v>
      </c>
      <c r="B18" s="2" t="s">
        <v>40</v>
      </c>
      <c r="C18" s="2" t="s">
        <v>41</v>
      </c>
      <c r="D18" s="3" t="n">
        <v>449</v>
      </c>
    </row>
    <row r="19" customFormat="false" ht="26.85" hidden="false" customHeight="false" outlineLevel="0" collapsed="false">
      <c r="A19" s="2" t="s">
        <v>33</v>
      </c>
      <c r="B19" s="2" t="s">
        <v>42</v>
      </c>
      <c r="C19" s="2" t="s">
        <v>43</v>
      </c>
      <c r="D19" s="3" t="n">
        <v>499</v>
      </c>
    </row>
    <row r="20" customFormat="false" ht="15" hidden="false" customHeight="false" outlineLevel="0" collapsed="false">
      <c r="A20" s="2" t="s">
        <v>44</v>
      </c>
      <c r="B20" s="2" t="s">
        <v>45</v>
      </c>
      <c r="C20" s="2" t="s">
        <v>46</v>
      </c>
      <c r="D20" s="3" t="n">
        <v>349</v>
      </c>
    </row>
    <row r="21" customFormat="false" ht="15" hidden="false" customHeight="false" outlineLevel="0" collapsed="false">
      <c r="A21" s="2" t="s">
        <v>44</v>
      </c>
      <c r="B21" s="2" t="s">
        <v>47</v>
      </c>
      <c r="C21" s="2" t="s">
        <v>48</v>
      </c>
      <c r="D21" s="3" t="n">
        <v>399</v>
      </c>
    </row>
    <row r="22" customFormat="false" ht="15" hidden="false" customHeight="false" outlineLevel="0" collapsed="false">
      <c r="A22" s="2" t="s">
        <v>44</v>
      </c>
      <c r="B22" s="2" t="s">
        <v>49</v>
      </c>
      <c r="C22" s="2" t="s">
        <v>50</v>
      </c>
      <c r="D22" s="3" t="n">
        <v>349</v>
      </c>
    </row>
    <row r="23" customFormat="false" ht="15" hidden="false" customHeight="false" outlineLevel="0" collapsed="false">
      <c r="A23" s="2" t="s">
        <v>44</v>
      </c>
      <c r="B23" s="2" t="s">
        <v>51</v>
      </c>
      <c r="C23" s="2" t="s">
        <v>52</v>
      </c>
      <c r="D23" s="3" t="n">
        <v>399</v>
      </c>
    </row>
    <row r="24" customFormat="false" ht="15" hidden="false" customHeight="false" outlineLevel="0" collapsed="false">
      <c r="A24" s="2" t="s">
        <v>44</v>
      </c>
      <c r="B24" s="2" t="s">
        <v>53</v>
      </c>
      <c r="C24" s="2" t="s">
        <v>54</v>
      </c>
      <c r="D24" s="3" t="n">
        <v>499</v>
      </c>
    </row>
    <row r="25" customFormat="false" ht="15" hidden="false" customHeight="false" outlineLevel="0" collapsed="false">
      <c r="A25" s="2" t="s">
        <v>55</v>
      </c>
      <c r="B25" s="2" t="s">
        <v>56</v>
      </c>
      <c r="C25" s="2" t="s">
        <v>35</v>
      </c>
      <c r="D25" s="3" t="n">
        <v>499</v>
      </c>
    </row>
    <row r="26" customFormat="false" ht="15" hidden="false" customHeight="false" outlineLevel="0" collapsed="false">
      <c r="A26" s="2" t="s">
        <v>55</v>
      </c>
      <c r="B26" s="2" t="s">
        <v>57</v>
      </c>
      <c r="C26" s="2" t="s">
        <v>58</v>
      </c>
      <c r="D26" s="3" t="n">
        <v>649</v>
      </c>
    </row>
    <row r="27" customFormat="false" ht="15" hidden="false" customHeight="false" outlineLevel="0" collapsed="false">
      <c r="A27" s="2" t="s">
        <v>55</v>
      </c>
      <c r="B27" s="2" t="s">
        <v>59</v>
      </c>
      <c r="C27" s="2" t="s">
        <v>60</v>
      </c>
      <c r="D27" s="3" t="n">
        <v>599</v>
      </c>
    </row>
    <row r="28" customFormat="false" ht="15" hidden="false" customHeight="false" outlineLevel="0" collapsed="false">
      <c r="A28" s="2" t="s">
        <v>55</v>
      </c>
      <c r="B28" s="2" t="s">
        <v>61</v>
      </c>
      <c r="C28" s="2" t="s">
        <v>62</v>
      </c>
      <c r="D28" s="3" t="n">
        <v>599</v>
      </c>
    </row>
    <row r="29" customFormat="false" ht="15" hidden="false" customHeight="false" outlineLevel="0" collapsed="false">
      <c r="A29" s="2" t="s">
        <v>55</v>
      </c>
      <c r="B29" s="2" t="s">
        <v>63</v>
      </c>
      <c r="C29" s="2" t="s">
        <v>64</v>
      </c>
      <c r="D29" s="3" t="n">
        <v>549</v>
      </c>
    </row>
    <row r="30" customFormat="false" ht="15" hidden="false" customHeight="false" outlineLevel="0" collapsed="false">
      <c r="A30" s="2" t="s">
        <v>65</v>
      </c>
      <c r="B30" s="2" t="s">
        <v>66</v>
      </c>
      <c r="C30" s="2" t="s">
        <v>67</v>
      </c>
      <c r="D30" s="3" t="n">
        <v>349</v>
      </c>
    </row>
    <row r="31" customFormat="false" ht="26.85" hidden="false" customHeight="false" outlineLevel="0" collapsed="false">
      <c r="A31" s="2" t="s">
        <v>65</v>
      </c>
      <c r="B31" s="2" t="s">
        <v>68</v>
      </c>
      <c r="C31" s="2" t="s">
        <v>69</v>
      </c>
      <c r="D31" s="3" t="n">
        <v>399</v>
      </c>
    </row>
    <row r="32" customFormat="false" ht="26.85" hidden="false" customHeight="false" outlineLevel="0" collapsed="false">
      <c r="A32" s="2" t="s">
        <v>65</v>
      </c>
      <c r="B32" s="2" t="s">
        <v>70</v>
      </c>
      <c r="C32" s="2" t="s">
        <v>71</v>
      </c>
      <c r="D32" s="3" t="n">
        <v>449</v>
      </c>
    </row>
    <row r="33" customFormat="false" ht="15" hidden="false" customHeight="false" outlineLevel="0" collapsed="false">
      <c r="A33" s="2" t="s">
        <v>65</v>
      </c>
      <c r="B33" s="2" t="s">
        <v>72</v>
      </c>
      <c r="C33" s="2" t="s">
        <v>73</v>
      </c>
      <c r="D33" s="3" t="n">
        <v>449</v>
      </c>
    </row>
    <row r="34" customFormat="false" ht="26.85" hidden="false" customHeight="false" outlineLevel="0" collapsed="false">
      <c r="A34" s="2" t="s">
        <v>65</v>
      </c>
      <c r="B34" s="2" t="s">
        <v>74</v>
      </c>
      <c r="C34" s="2" t="s">
        <v>75</v>
      </c>
      <c r="D34" s="3" t="n">
        <v>499</v>
      </c>
    </row>
    <row r="35" customFormat="false" ht="15" hidden="false" customHeight="false" outlineLevel="0" collapsed="false">
      <c r="A35" s="2" t="s">
        <v>76</v>
      </c>
      <c r="B35" s="2" t="s">
        <v>77</v>
      </c>
      <c r="C35" s="2" t="s">
        <v>78</v>
      </c>
      <c r="D35" s="3" t="n">
        <v>349</v>
      </c>
    </row>
    <row r="36" customFormat="false" ht="15" hidden="false" customHeight="false" outlineLevel="0" collapsed="false">
      <c r="A36" s="2" t="s">
        <v>76</v>
      </c>
      <c r="B36" s="2" t="s">
        <v>79</v>
      </c>
      <c r="C36" s="2" t="s">
        <v>80</v>
      </c>
      <c r="D36" s="3" t="n">
        <v>299</v>
      </c>
    </row>
    <row r="37" customFormat="false" ht="15" hidden="false" customHeight="false" outlineLevel="0" collapsed="false">
      <c r="A37" s="2" t="s">
        <v>76</v>
      </c>
      <c r="B37" s="2" t="s">
        <v>81</v>
      </c>
      <c r="C37" s="2" t="s">
        <v>82</v>
      </c>
      <c r="D37" s="3" t="n">
        <v>299</v>
      </c>
    </row>
    <row r="38" customFormat="false" ht="15" hidden="false" customHeight="false" outlineLevel="0" collapsed="false">
      <c r="A38" s="2" t="s">
        <v>76</v>
      </c>
      <c r="B38" s="2" t="s">
        <v>83</v>
      </c>
      <c r="C38" s="2" t="s">
        <v>84</v>
      </c>
      <c r="D38" s="3" t="n">
        <v>195</v>
      </c>
    </row>
    <row r="39" customFormat="false" ht="15" hidden="false" customHeight="false" outlineLevel="0" collapsed="false">
      <c r="A39" s="2" t="s">
        <v>76</v>
      </c>
      <c r="B39" s="2" t="s">
        <v>85</v>
      </c>
      <c r="C39" s="2"/>
      <c r="D39" s="3" t="n">
        <v>135</v>
      </c>
    </row>
    <row r="40" customFormat="false" ht="15" hidden="false" customHeight="false" outlineLevel="0" collapsed="false">
      <c r="A40" s="2" t="s">
        <v>76</v>
      </c>
      <c r="B40" s="2" t="s">
        <v>86</v>
      </c>
      <c r="C40" s="2"/>
      <c r="D40" s="3" t="n">
        <v>145</v>
      </c>
    </row>
    <row r="41" customFormat="false" ht="15" hidden="false" customHeight="false" outlineLevel="0" collapsed="false">
      <c r="A41" s="2" t="s">
        <v>76</v>
      </c>
      <c r="B41" s="2" t="s">
        <v>87</v>
      </c>
      <c r="C41" s="2"/>
      <c r="D41" s="3" t="n">
        <v>155</v>
      </c>
    </row>
    <row r="42" customFormat="false" ht="15" hidden="false" customHeight="false" outlineLevel="0" collapsed="false">
      <c r="A42" s="2" t="s">
        <v>76</v>
      </c>
      <c r="B42" s="2" t="s">
        <v>88</v>
      </c>
      <c r="C42" s="2"/>
      <c r="D42" s="3" t="n">
        <v>165</v>
      </c>
    </row>
    <row r="43" customFormat="false" ht="15" hidden="false" customHeight="false" outlineLevel="0" collapsed="false">
      <c r="A43" s="2" t="s">
        <v>76</v>
      </c>
      <c r="B43" s="2" t="s">
        <v>89</v>
      </c>
      <c r="C43" s="2"/>
      <c r="D43" s="3" t="n">
        <v>175</v>
      </c>
    </row>
    <row r="44" customFormat="false" ht="15" hidden="false" customHeight="false" outlineLevel="0" collapsed="false">
      <c r="A44" s="2" t="s">
        <v>90</v>
      </c>
      <c r="B44" s="2" t="s">
        <v>91</v>
      </c>
      <c r="C44" s="2" t="s">
        <v>92</v>
      </c>
      <c r="D44" s="3" t="n">
        <v>279</v>
      </c>
    </row>
    <row r="45" customFormat="false" ht="15" hidden="false" customHeight="false" outlineLevel="0" collapsed="false">
      <c r="A45" s="2" t="s">
        <v>90</v>
      </c>
      <c r="B45" s="2" t="s">
        <v>93</v>
      </c>
      <c r="C45" s="2" t="s">
        <v>94</v>
      </c>
      <c r="D45" s="3" t="n">
        <v>279</v>
      </c>
    </row>
    <row r="46" customFormat="false" ht="15" hidden="false" customHeight="false" outlineLevel="0" collapsed="false">
      <c r="A46" s="2" t="s">
        <v>90</v>
      </c>
      <c r="B46" s="2" t="s">
        <v>95</v>
      </c>
      <c r="C46" s="2" t="s">
        <v>96</v>
      </c>
      <c r="D46" s="3" t="n">
        <v>279</v>
      </c>
    </row>
    <row r="47" customFormat="false" ht="15" hidden="false" customHeight="false" outlineLevel="0" collapsed="false">
      <c r="A47" s="2" t="s">
        <v>90</v>
      </c>
      <c r="B47" s="2" t="s">
        <v>97</v>
      </c>
      <c r="C47" s="2" t="s">
        <v>98</v>
      </c>
      <c r="D47" s="3" t="n">
        <v>299</v>
      </c>
    </row>
    <row r="48" customFormat="false" ht="15" hidden="false" customHeight="false" outlineLevel="0" collapsed="false">
      <c r="A48" s="2" t="s">
        <v>90</v>
      </c>
      <c r="B48" s="2" t="s">
        <v>99</v>
      </c>
      <c r="C48" s="2" t="s">
        <v>100</v>
      </c>
      <c r="D48" s="3" t="n">
        <v>299</v>
      </c>
    </row>
    <row r="49" customFormat="false" ht="15" hidden="false" customHeight="false" outlineLevel="0" collapsed="false">
      <c r="A49" s="2" t="s">
        <v>101</v>
      </c>
      <c r="B49" s="2" t="s">
        <v>102</v>
      </c>
      <c r="C49" s="2"/>
      <c r="D49" s="3" t="n">
        <v>99</v>
      </c>
    </row>
    <row r="50" customFormat="false" ht="15" hidden="false" customHeight="false" outlineLevel="0" collapsed="false">
      <c r="A50" s="2" t="s">
        <v>101</v>
      </c>
      <c r="B50" s="2" t="s">
        <v>103</v>
      </c>
      <c r="C50" s="2"/>
      <c r="D50" s="3" t="n">
        <v>99</v>
      </c>
    </row>
    <row r="51" customFormat="false" ht="15" hidden="false" customHeight="false" outlineLevel="0" collapsed="false">
      <c r="A51" s="2" t="s">
        <v>101</v>
      </c>
      <c r="B51" s="2" t="s">
        <v>104</v>
      </c>
      <c r="C51" s="2"/>
      <c r="D51" s="3" t="n">
        <v>99</v>
      </c>
    </row>
    <row r="52" customFormat="false" ht="15" hidden="false" customHeight="false" outlineLevel="0" collapsed="false">
      <c r="A52" s="2" t="s">
        <v>101</v>
      </c>
      <c r="B52" s="2" t="s">
        <v>105</v>
      </c>
      <c r="C52" s="2"/>
      <c r="D52" s="3" t="n">
        <v>99</v>
      </c>
    </row>
    <row r="53" customFormat="false" ht="15" hidden="false" customHeight="false" outlineLevel="0" collapsed="false">
      <c r="A53" s="2" t="s">
        <v>101</v>
      </c>
      <c r="B53" s="2" t="s">
        <v>106</v>
      </c>
      <c r="C53" s="2"/>
      <c r="D53" s="3" t="n">
        <v>129</v>
      </c>
    </row>
    <row r="54" customFormat="false" ht="15" hidden="false" customHeight="false" outlineLevel="0" collapsed="false">
      <c r="A54" s="2" t="s">
        <v>101</v>
      </c>
      <c r="B54" s="2" t="s">
        <v>107</v>
      </c>
      <c r="C54" s="2"/>
      <c r="D54" s="3" t="n">
        <v>199</v>
      </c>
    </row>
    <row r="55" customFormat="false" ht="15" hidden="false" customHeight="false" outlineLevel="0" collapsed="false">
      <c r="A55" s="2" t="s">
        <v>101</v>
      </c>
      <c r="B55" s="2" t="s">
        <v>108</v>
      </c>
      <c r="C55" s="2"/>
      <c r="D55" s="3" t="n">
        <v>60</v>
      </c>
    </row>
    <row r="56" customFormat="false" ht="15" hidden="false" customHeight="false" outlineLevel="0" collapsed="false">
      <c r="A56" s="2" t="s">
        <v>101</v>
      </c>
      <c r="B56" s="2" t="s">
        <v>109</v>
      </c>
      <c r="C56" s="2"/>
      <c r="D56" s="3" t="n">
        <v>125</v>
      </c>
    </row>
    <row r="57" customFormat="false" ht="15" hidden="false" customHeight="false" outlineLevel="0" collapsed="false">
      <c r="A57" s="2" t="s">
        <v>110</v>
      </c>
      <c r="B57" s="2" t="s">
        <v>111</v>
      </c>
      <c r="C57" s="2" t="s">
        <v>112</v>
      </c>
      <c r="D57" s="3" t="n">
        <v>229</v>
      </c>
    </row>
    <row r="58" customFormat="false" ht="15" hidden="false" customHeight="false" outlineLevel="0" collapsed="false">
      <c r="A58" s="2" t="s">
        <v>110</v>
      </c>
      <c r="B58" s="2" t="s">
        <v>113</v>
      </c>
      <c r="C58" s="2" t="s">
        <v>114</v>
      </c>
      <c r="D58" s="3" t="n">
        <v>269</v>
      </c>
    </row>
    <row r="59" customFormat="false" ht="15" hidden="false" customHeight="false" outlineLevel="0" collapsed="false">
      <c r="A59" s="2" t="s">
        <v>110</v>
      </c>
      <c r="B59" s="2" t="s">
        <v>115</v>
      </c>
      <c r="C59" s="2" t="s">
        <v>116</v>
      </c>
      <c r="D59" s="3" t="n">
        <v>299</v>
      </c>
    </row>
    <row r="60" customFormat="false" ht="15" hidden="false" customHeight="false" outlineLevel="0" collapsed="false">
      <c r="A60" s="2" t="s">
        <v>110</v>
      </c>
      <c r="B60" s="2" t="s">
        <v>117</v>
      </c>
      <c r="C60" s="2" t="s">
        <v>118</v>
      </c>
      <c r="D60" s="3" t="n">
        <v>299</v>
      </c>
    </row>
    <row r="61" customFormat="false" ht="15" hidden="false" customHeight="false" outlineLevel="0" collapsed="false">
      <c r="A61" s="2" t="s">
        <v>119</v>
      </c>
      <c r="B61" s="2" t="s">
        <v>120</v>
      </c>
      <c r="C61" s="2" t="s">
        <v>121</v>
      </c>
      <c r="D61" s="3" t="n">
        <v>199</v>
      </c>
    </row>
    <row r="62" customFormat="false" ht="15" hidden="false" customHeight="false" outlineLevel="0" collapsed="false">
      <c r="A62" s="2" t="s">
        <v>119</v>
      </c>
      <c r="B62" s="2" t="s">
        <v>122</v>
      </c>
      <c r="C62" s="2" t="s">
        <v>123</v>
      </c>
      <c r="D62" s="3" t="n">
        <v>299</v>
      </c>
    </row>
    <row r="64" customFormat="false" ht="15" hidden="false" customHeight="false" outlineLevel="0" collapsed="false">
      <c r="C64" s="4" t="s">
        <v>124</v>
      </c>
      <c r="D64" s="4" t="n">
        <f aca="false">COUNTA(B2:B62)</f>
        <v>61</v>
      </c>
    </row>
    <row r="65" customFormat="false" ht="15" hidden="false" customHeight="false" outlineLevel="0" collapsed="false">
      <c r="C65" s="4" t="s">
        <v>125</v>
      </c>
      <c r="D65" s="5" t="n">
        <f aca="false">AVERAGE(D2:D62)</f>
        <v>306.590163934426</v>
      </c>
    </row>
    <row r="66" customFormat="false" ht="15" hidden="false" customHeight="false" outlineLevel="0" collapsed="false">
      <c r="C66" s="6" t="s">
        <v>126</v>
      </c>
    </row>
  </sheetData>
  <autoFilter ref="A1:D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0</v>
      </c>
      <c r="B1" s="1" t="s">
        <v>127</v>
      </c>
      <c r="C1" s="1" t="s">
        <v>128</v>
      </c>
      <c r="D1" s="1" t="s">
        <v>129</v>
      </c>
    </row>
    <row r="2" customFormat="false" ht="15" hidden="false" customHeight="false" outlineLevel="0" collapsed="false">
      <c r="A2" s="7" t="s">
        <v>4</v>
      </c>
      <c r="B2" s="7" t="n">
        <f aca="false">COUNTIF(Menu!$A$2:$A$62,A2)</f>
        <v>3</v>
      </c>
      <c r="C2" s="8" t="n">
        <f aca="false">_xlfn.MINIFS(Menu!$D$2:$D$62,Menu!$A$2:$A$62,A2)</f>
        <v>299</v>
      </c>
      <c r="D2" s="8" t="n">
        <f aca="false">_xlfn.MAXIFS(Menu!$D$2:$D$62,Menu!$A$2:$A$62,A2)</f>
        <v>499</v>
      </c>
    </row>
    <row r="3" customFormat="false" ht="15" hidden="false" customHeight="false" outlineLevel="0" collapsed="false">
      <c r="A3" s="7" t="s">
        <v>11</v>
      </c>
      <c r="B3" s="7" t="n">
        <f aca="false">COUNTIF(Menu!$A$2:$A$62,A3)</f>
        <v>5</v>
      </c>
      <c r="C3" s="8" t="n">
        <f aca="false">_xlfn.MINIFS(Menu!$D$2:$D$62,Menu!$A$2:$A$62,A3)</f>
        <v>249</v>
      </c>
      <c r="D3" s="8" t="n">
        <f aca="false">_xlfn.MAXIFS(Menu!$D$2:$D$62,Menu!$A$2:$A$62,A3)</f>
        <v>299</v>
      </c>
    </row>
    <row r="4" customFormat="false" ht="15" hidden="false" customHeight="false" outlineLevel="0" collapsed="false">
      <c r="A4" s="7" t="s">
        <v>22</v>
      </c>
      <c r="B4" s="7" t="n">
        <f aca="false">COUNTIF(Menu!$A$2:$A$62,A4)</f>
        <v>5</v>
      </c>
      <c r="C4" s="8" t="n">
        <f aca="false">_xlfn.MINIFS(Menu!$D$2:$D$62,Menu!$A$2:$A$62,A4)</f>
        <v>179</v>
      </c>
      <c r="D4" s="8" t="n">
        <f aca="false">_xlfn.MAXIFS(Menu!$D$2:$D$62,Menu!$A$2:$A$62,A4)</f>
        <v>299</v>
      </c>
    </row>
    <row r="5" customFormat="false" ht="15" hidden="false" customHeight="false" outlineLevel="0" collapsed="false">
      <c r="A5" s="7" t="s">
        <v>33</v>
      </c>
      <c r="B5" s="7" t="n">
        <f aca="false">COUNTIF(Menu!$A$2:$A$62,A5)</f>
        <v>5</v>
      </c>
      <c r="C5" s="8" t="n">
        <f aca="false">_xlfn.MINIFS(Menu!$D$2:$D$62,Menu!$A$2:$A$62,A5)</f>
        <v>399</v>
      </c>
      <c r="D5" s="8" t="n">
        <f aca="false">_xlfn.MAXIFS(Menu!$D$2:$D$62,Menu!$A$2:$A$62,A5)</f>
        <v>499</v>
      </c>
    </row>
    <row r="6" customFormat="false" ht="15" hidden="false" customHeight="false" outlineLevel="0" collapsed="false">
      <c r="A6" s="7" t="s">
        <v>44</v>
      </c>
      <c r="B6" s="7" t="n">
        <f aca="false">COUNTIF(Menu!$A$2:$A$62,A6)</f>
        <v>5</v>
      </c>
      <c r="C6" s="8" t="n">
        <f aca="false">_xlfn.MINIFS(Menu!$D$2:$D$62,Menu!$A$2:$A$62,A6)</f>
        <v>349</v>
      </c>
      <c r="D6" s="8" t="n">
        <f aca="false">_xlfn.MAXIFS(Menu!$D$2:$D$62,Menu!$A$2:$A$62,A6)</f>
        <v>499</v>
      </c>
    </row>
    <row r="7" customFormat="false" ht="15" hidden="false" customHeight="false" outlineLevel="0" collapsed="false">
      <c r="A7" s="7" t="s">
        <v>55</v>
      </c>
      <c r="B7" s="7" t="n">
        <f aca="false">COUNTIF(Menu!$A$2:$A$62,A7)</f>
        <v>5</v>
      </c>
      <c r="C7" s="8" t="n">
        <f aca="false">_xlfn.MINIFS(Menu!$D$2:$D$62,Menu!$A$2:$A$62,A7)</f>
        <v>499</v>
      </c>
      <c r="D7" s="8" t="n">
        <f aca="false">_xlfn.MAXIFS(Menu!$D$2:$D$62,Menu!$A$2:$A$62,A7)</f>
        <v>649</v>
      </c>
    </row>
    <row r="8" customFormat="false" ht="15" hidden="false" customHeight="false" outlineLevel="0" collapsed="false">
      <c r="A8" s="7" t="s">
        <v>65</v>
      </c>
      <c r="B8" s="7" t="n">
        <f aca="false">COUNTIF(Menu!$A$2:$A$62,A8)</f>
        <v>5</v>
      </c>
      <c r="C8" s="8" t="n">
        <f aca="false">_xlfn.MINIFS(Menu!$D$2:$D$62,Menu!$A$2:$A$62,A8)</f>
        <v>349</v>
      </c>
      <c r="D8" s="8" t="n">
        <f aca="false">_xlfn.MAXIFS(Menu!$D$2:$D$62,Menu!$A$2:$A$62,A8)</f>
        <v>499</v>
      </c>
    </row>
    <row r="9" customFormat="false" ht="15" hidden="false" customHeight="false" outlineLevel="0" collapsed="false">
      <c r="A9" s="7" t="s">
        <v>76</v>
      </c>
      <c r="B9" s="7" t="n">
        <f aca="false">COUNTIF(Menu!$A$2:$A$62,A9)</f>
        <v>9</v>
      </c>
      <c r="C9" s="8" t="n">
        <f aca="false">_xlfn.MINIFS(Menu!$D$2:$D$62,Menu!$A$2:$A$62,A9)</f>
        <v>135</v>
      </c>
      <c r="D9" s="8" t="n">
        <f aca="false">_xlfn.MAXIFS(Menu!$D$2:$D$62,Menu!$A$2:$A$62,A9)</f>
        <v>349</v>
      </c>
    </row>
    <row r="10" customFormat="false" ht="15" hidden="false" customHeight="false" outlineLevel="0" collapsed="false">
      <c r="A10" s="7" t="s">
        <v>90</v>
      </c>
      <c r="B10" s="7" t="n">
        <f aca="false">COUNTIF(Menu!$A$2:$A$62,A10)</f>
        <v>5</v>
      </c>
      <c r="C10" s="8" t="n">
        <f aca="false">_xlfn.MINIFS(Menu!$D$2:$D$62,Menu!$A$2:$A$62,A10)</f>
        <v>279</v>
      </c>
      <c r="D10" s="8" t="n">
        <f aca="false">_xlfn.MAXIFS(Menu!$D$2:$D$62,Menu!$A$2:$A$62,A10)</f>
        <v>299</v>
      </c>
    </row>
    <row r="11" customFormat="false" ht="15" hidden="false" customHeight="false" outlineLevel="0" collapsed="false">
      <c r="A11" s="7" t="s">
        <v>101</v>
      </c>
      <c r="B11" s="7" t="n">
        <f aca="false">COUNTIF(Menu!$A$2:$A$62,A11)</f>
        <v>8</v>
      </c>
      <c r="C11" s="8" t="n">
        <f aca="false">_xlfn.MINIFS(Menu!$D$2:$D$62,Menu!$A$2:$A$62,A11)</f>
        <v>60</v>
      </c>
      <c r="D11" s="8" t="n">
        <f aca="false">_xlfn.MAXIFS(Menu!$D$2:$D$62,Menu!$A$2:$A$62,A11)</f>
        <v>199</v>
      </c>
    </row>
    <row r="12" customFormat="false" ht="15" hidden="false" customHeight="false" outlineLevel="0" collapsed="false">
      <c r="A12" s="7" t="s">
        <v>110</v>
      </c>
      <c r="B12" s="7" t="n">
        <f aca="false">COUNTIF(Menu!$A$2:$A$62,A12)</f>
        <v>4</v>
      </c>
      <c r="C12" s="8" t="n">
        <f aca="false">_xlfn.MINIFS(Menu!$D$2:$D$62,Menu!$A$2:$A$62,A12)</f>
        <v>229</v>
      </c>
      <c r="D12" s="8" t="n">
        <f aca="false">_xlfn.MAXIFS(Menu!$D$2:$D$62,Menu!$A$2:$A$62,A12)</f>
        <v>299</v>
      </c>
    </row>
    <row r="13" customFormat="false" ht="15" hidden="false" customHeight="false" outlineLevel="0" collapsed="false">
      <c r="A13" s="7" t="s">
        <v>119</v>
      </c>
      <c r="B13" s="7" t="n">
        <f aca="false">COUNTIF(Menu!$A$2:$A$62,A13)</f>
        <v>2</v>
      </c>
      <c r="C13" s="8" t="n">
        <f aca="false">_xlfn.MINIFS(Menu!$D$2:$D$62,Menu!$A$2:$A$62,A13)</f>
        <v>199</v>
      </c>
      <c r="D13" s="8" t="n">
        <f aca="false">_xlfn.MAXIFS(Menu!$D$2:$D$62,Menu!$A$2:$A$62,A13)</f>
        <v>299</v>
      </c>
    </row>
    <row r="14" customFormat="false" ht="15" hidden="false" customHeight="false" outlineLevel="0" collapsed="false">
      <c r="A14" s="4" t="s">
        <v>130</v>
      </c>
      <c r="B14" s="4" t="n">
        <f aca="false">SUM(B2:B13)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131</v>
      </c>
      <c r="B1" s="1" t="s">
        <v>132</v>
      </c>
    </row>
    <row r="2" customFormat="false" ht="39.55" hidden="false" customHeight="false" outlineLevel="0" collapsed="false">
      <c r="A2" s="9" t="s">
        <v>133</v>
      </c>
      <c r="B2" s="2" t="s">
        <v>134</v>
      </c>
    </row>
    <row r="3" customFormat="false" ht="15" hidden="false" customHeight="false" outlineLevel="0" collapsed="false">
      <c r="A3" s="9" t="s">
        <v>135</v>
      </c>
      <c r="B3" s="2" t="s">
        <v>136</v>
      </c>
    </row>
    <row r="4" customFormat="false" ht="26.85" hidden="false" customHeight="false" outlineLevel="0" collapsed="false">
      <c r="A4" s="9" t="s">
        <v>137</v>
      </c>
      <c r="B4" s="2" t="s">
        <v>138</v>
      </c>
    </row>
    <row r="5" customFormat="false" ht="15" hidden="false" customHeight="false" outlineLevel="0" collapsed="false">
      <c r="A5" s="9" t="s">
        <v>139</v>
      </c>
      <c r="B5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2026-10-06T17:37:45Z</dcterms:created>
  <dc:creator>openpyxl</dc:creator>
  <dc:description/>
  <dc:language>en-US</dc:language>
  <cp:lastModifiedBy/>
  <dcterms:modified xsi:type="dcterms:W3CDTF">2026-10-06T17:37:45Z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